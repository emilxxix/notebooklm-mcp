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การเงิน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+0.00%;-0.00%"/>
    <numFmt numFmtId="165" formatCode="0.0%"/>
  </numFmts>
  <fonts count="19">
    <font>
      <name val="Calibri"/>
      <family val="2"/>
      <color theme="1"/>
      <sz val="11"/>
      <scheme val="minor"/>
    </font>
    <font>
      <name val="Tahoma"/>
      <b val="1"/>
      <color rgb="00FFFFFF"/>
      <sz val="20"/>
    </font>
    <font>
      <name val="Tahoma"/>
      <color rgb="00FFFFFF"/>
      <sz val="10"/>
    </font>
    <font>
      <name val="Tahoma"/>
      <b val="1"/>
      <color rgb="00FFFFFF"/>
      <sz val="11"/>
    </font>
    <font>
      <name val="Tahoma"/>
      <b val="1"/>
      <color rgb="00FFFFFF"/>
      <sz val="22"/>
    </font>
    <font>
      <name val="Tahoma"/>
      <b val="1"/>
      <color rgb="00FFFFFF"/>
      <sz val="13"/>
    </font>
    <font>
      <name val="Tahoma"/>
      <b val="1"/>
      <color rgb="00FFFFFF"/>
      <sz val="10"/>
    </font>
    <font>
      <name val="Tahoma"/>
      <color rgb="001E2A38"/>
      <sz val="10"/>
    </font>
    <font>
      <name val="Tahoma"/>
      <b val="1"/>
      <color rgb="001E2A38"/>
      <sz val="10"/>
    </font>
    <font>
      <name val="Tahoma"/>
      <color rgb="001E8E5A"/>
      <sz val="10"/>
    </font>
    <font>
      <name val="Tahoma"/>
      <color rgb="00C0392B"/>
      <sz val="10"/>
    </font>
    <font>
      <name val="Tahoma"/>
      <color rgb="001E2A38"/>
      <sz val="9"/>
    </font>
    <font>
      <name val="Tahoma"/>
      <b val="1"/>
      <color rgb="001E8E5A"/>
      <sz val="10"/>
    </font>
    <font>
      <name val="&lt;openpyxl.styles.fills.PatternFill object&gt;&#10;Parameters:&#10;patternType='solid', fgColor=&lt;openpyxl.styles.colors.Color object&gt;&#10;Parameters:&#10;rgb='00FFFFFF', indexed=None, auto=None, theme=None, tint=0.0, type='rgb', bgColor=&lt;openpyxl.styles.colors.Color object&gt;&#10;Parameters:&#10;rgb='00000000', indexed=None, auto=None, theme=None, tint=0.0, type='rgb'"/>
    </font>
    <font>
      <name val="Tahoma"/>
      <b val="1"/>
      <color rgb="00C0392B"/>
      <sz val="10"/>
    </font>
    <font>
      <name val="Tahoma"/>
      <b val="1"/>
      <color rgb="00FFFFFF"/>
      <sz val="12"/>
    </font>
    <font>
      <name val="Tahoma"/>
      <b val="1"/>
      <color rgb="001FA39B"/>
      <sz val="10"/>
    </font>
    <font>
      <name val="&lt;openpyxl.styles.fills.PatternFill object&gt;&#10;Parameters:&#10;patternType='solid', fgColor=&lt;openpyxl.styles.colors.Color object&gt;&#10;Parameters:&#10;rgb='00F1F3F6', indexed=None, auto=None, theme=None, tint=0.0, type='rgb', bgColor=&lt;openpyxl.styles.colors.Color object&gt;&#10;Parameters:&#10;rgb='00000000', indexed=None, auto=None, theme=None, tint=0.0, type='rgb'"/>
    </font>
    <font>
      <name val="Tahoma"/>
      <color rgb="006B7280"/>
      <sz val="9"/>
    </font>
  </fonts>
  <fills count="13">
    <fill>
      <patternFill/>
    </fill>
    <fill>
      <patternFill patternType="gray125"/>
    </fill>
    <fill>
      <patternFill patternType="solid">
        <fgColor rgb="0014315C"/>
      </patternFill>
    </fill>
    <fill>
      <patternFill patternType="solid">
        <fgColor rgb="001F3A63"/>
      </patternFill>
    </fill>
    <fill>
      <patternFill patternType="solid">
        <fgColor rgb="00C0392B"/>
      </patternFill>
    </fill>
    <fill>
      <patternFill patternType="solid">
        <fgColor rgb="001E8E5A"/>
      </patternFill>
    </fill>
    <fill>
      <patternFill patternType="solid">
        <fgColor rgb="00FFFFFF"/>
      </patternFill>
    </fill>
    <fill>
      <patternFill patternType="solid">
        <fgColor rgb="00F1F3F6"/>
      </patternFill>
    </fill>
    <fill>
      <patternFill patternType="solid">
        <fgColor rgb="002563B0"/>
      </patternFill>
    </fill>
    <fill>
      <patternFill patternType="solid">
        <fgColor rgb="00DDF0E5"/>
      </patternFill>
    </fill>
    <fill>
      <patternFill patternType="solid">
        <fgColor rgb="007A3B43"/>
      </patternFill>
    </fill>
    <fill>
      <patternFill patternType="solid">
        <fgColor rgb="009E5560"/>
      </patternFill>
    </fill>
    <fill>
      <patternFill patternType="solid">
        <fgColor rgb="00F6DAD6"/>
      </patternFill>
    </fill>
  </fills>
  <borders count="3">
    <border>
      <left/>
      <right/>
      <top/>
      <bottom/>
      <diagonal/>
    </border>
    <border/>
    <border>
      <left style="thin">
        <color rgb="00C9D2DD"/>
      </left>
      <right style="thin">
        <color rgb="00C9D2DD"/>
      </right>
      <top style="thin">
        <color rgb="00C9D2DD"/>
      </top>
      <bottom style="thin">
        <color rgb="00C9D2DD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3" fontId="4" fillId="2" borderId="1" applyAlignment="1" pivotButton="0" quotePrefix="0" xfId="0">
      <alignment horizontal="center" vertical="center" wrapText="1"/>
    </xf>
    <xf numFmtId="3" fontId="4" fillId="4" borderId="1" applyAlignment="1" pivotButton="0" quotePrefix="0" xfId="0">
      <alignment horizontal="center" vertical="center" wrapText="1"/>
    </xf>
    <xf numFmtId="3" fontId="4" fillId="5" borderId="1" applyAlignment="1" pivotButton="0" quotePrefix="0" xfId="0">
      <alignment horizontal="center" vertical="center" wrapText="1"/>
    </xf>
    <xf numFmtId="0" fontId="5" fillId="2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left" vertical="center" wrapText="1"/>
    </xf>
    <xf numFmtId="4" fontId="8" fillId="6" borderId="2" applyAlignment="1" pivotButton="0" quotePrefix="0" xfId="0">
      <alignment horizontal="right" vertical="center"/>
    </xf>
    <xf numFmtId="4" fontId="9" fillId="6" borderId="2" applyAlignment="1" pivotButton="0" quotePrefix="0" xfId="0">
      <alignment horizontal="right" vertical="center"/>
    </xf>
    <xf numFmtId="164" fontId="9" fillId="6" borderId="2" applyAlignment="1" pivotButton="0" quotePrefix="0" xfId="0">
      <alignment horizontal="right" vertical="center"/>
    </xf>
    <xf numFmtId="0" fontId="7" fillId="7" borderId="2" applyAlignment="1" pivotButton="0" quotePrefix="0" xfId="0">
      <alignment horizontal="left" vertical="center" wrapText="1"/>
    </xf>
    <xf numFmtId="4" fontId="8" fillId="7" borderId="2" applyAlignment="1" pivotButton="0" quotePrefix="0" xfId="0">
      <alignment horizontal="right" vertical="center"/>
    </xf>
    <xf numFmtId="4" fontId="9" fillId="7" borderId="2" applyAlignment="1" pivotButton="0" quotePrefix="0" xfId="0">
      <alignment horizontal="right" vertical="center"/>
    </xf>
    <xf numFmtId="164" fontId="9" fillId="7" borderId="2" applyAlignment="1" pivotButton="0" quotePrefix="0" xfId="0">
      <alignment horizontal="right" vertical="center"/>
    </xf>
    <xf numFmtId="4" fontId="10" fillId="7" borderId="2" applyAlignment="1" pivotButton="0" quotePrefix="0" xfId="0">
      <alignment horizontal="right" vertical="center"/>
    </xf>
    <xf numFmtId="164" fontId="10" fillId="7" borderId="2" applyAlignment="1" pivotButton="0" quotePrefix="0" xfId="0">
      <alignment horizontal="right" vertical="center"/>
    </xf>
    <xf numFmtId="0" fontId="3" fillId="2" borderId="2" applyAlignment="1" pivotButton="0" quotePrefix="0" xfId="0">
      <alignment horizontal="left" vertical="center" wrapText="1"/>
    </xf>
    <xf numFmtId="4" fontId="3" fillId="2" borderId="2" applyAlignment="1" pivotButton="0" quotePrefix="0" xfId="0">
      <alignment horizontal="right" vertical="center"/>
    </xf>
    <xf numFmtId="0" fontId="3" fillId="2" borderId="2" applyAlignment="1" pivotButton="0" quotePrefix="0" xfId="0">
      <alignment horizontal="right" vertical="center"/>
    </xf>
    <xf numFmtId="0" fontId="5" fillId="8" borderId="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left" vertical="center" wrapText="1"/>
    </xf>
    <xf numFmtId="4" fontId="7" fillId="6" borderId="2" applyAlignment="1" pivotButton="0" quotePrefix="0" xfId="0">
      <alignment horizontal="right" vertical="center"/>
    </xf>
    <xf numFmtId="165" fontId="7" fillId="6" borderId="2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left" vertical="center" wrapText="1"/>
    </xf>
    <xf numFmtId="4" fontId="7" fillId="7" borderId="2" applyAlignment="1" pivotButton="0" quotePrefix="0" xfId="0">
      <alignment horizontal="right" vertical="center"/>
    </xf>
    <xf numFmtId="165" fontId="7" fillId="7" borderId="2" applyAlignment="1" pivotButton="0" quotePrefix="0" xfId="0">
      <alignment horizontal="center" vertical="center" wrapText="1"/>
    </xf>
    <xf numFmtId="164" fontId="10" fillId="6" borderId="2" applyAlignment="1" pivotButton="0" quotePrefix="0" xfId="0">
      <alignment horizontal="right" vertical="center"/>
    </xf>
    <xf numFmtId="0" fontId="3" fillId="8" borderId="2" applyAlignment="1" pivotButton="0" quotePrefix="0" xfId="0">
      <alignment horizontal="left" vertical="center" wrapText="1"/>
    </xf>
    <xf numFmtId="4" fontId="3" fillId="8" borderId="2" applyAlignment="1" pivotButton="0" quotePrefix="0" xfId="0">
      <alignment horizontal="right" vertical="center"/>
    </xf>
    <xf numFmtId="0" fontId="3" fillId="8" borderId="2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left" vertical="center" wrapText="1"/>
    </xf>
    <xf numFmtId="0" fontId="3" fillId="4" borderId="2" applyAlignment="1" pivotButton="0" quotePrefix="0" xfId="0">
      <alignment horizontal="center" vertical="center" wrapText="1"/>
    </xf>
    <xf numFmtId="4" fontId="3" fillId="4" borderId="2" applyAlignment="1" pivotButton="0" quotePrefix="0" xfId="0">
      <alignment horizontal="right" vertical="center"/>
    </xf>
    <xf numFmtId="0" fontId="12" fillId="9" borderId="2" applyAlignment="1" pivotButton="0" quotePrefix="0" xfId="0">
      <alignment horizontal="left" vertical="center" wrapText="1"/>
    </xf>
    <xf numFmtId="0" fontId="7" fillId="9" borderId="2" applyAlignment="1" pivotButton="0" quotePrefix="0" xfId="0">
      <alignment horizontal="center" vertical="center" wrapText="1"/>
    </xf>
    <xf numFmtId="4" fontId="12" fillId="9" borderId="2" applyAlignment="1" pivotButton="0" quotePrefix="0" xfId="0">
      <alignment horizontal="right" vertical="center"/>
    </xf>
    <xf numFmtId="0" fontId="5" fillId="10" borderId="2" applyAlignment="1" pivotButton="0" quotePrefix="0" xfId="0">
      <alignment horizontal="center" vertical="center" wrapText="1"/>
    </xf>
    <xf numFmtId="0" fontId="6" fillId="11" borderId="2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left" vertical="center" wrapText="1"/>
    </xf>
    <xf numFmtId="0" fontId="3" fillId="10" borderId="2" applyAlignment="1" pivotButton="0" quotePrefix="0" xfId="0">
      <alignment horizontal="center" vertical="center" wrapText="1"/>
    </xf>
    <xf numFmtId="4" fontId="3" fillId="10" borderId="2" applyAlignment="1" pivotButton="0" quotePrefix="0" xfId="0">
      <alignment horizontal="right" vertical="center"/>
    </xf>
    <xf numFmtId="0" fontId="5" fillId="5" borderId="2" applyAlignment="1" pivotButton="0" quotePrefix="0" xfId="0">
      <alignment horizontal="center" vertical="center" wrapText="1"/>
    </xf>
    <xf numFmtId="4" fontId="8" fillId="9" borderId="2" applyAlignment="1" pivotButton="0" quotePrefix="0" xfId="0">
      <alignment horizontal="right" vertical="center"/>
    </xf>
    <xf numFmtId="0" fontId="13" fillId="0" borderId="2" pivotButton="0" quotePrefix="0" xfId="0"/>
    <xf numFmtId="4" fontId="14" fillId="12" borderId="2" applyAlignment="1" pivotButton="0" quotePrefix="0" xfId="0">
      <alignment horizontal="right" vertical="center"/>
    </xf>
    <xf numFmtId="0" fontId="15" fillId="5" borderId="2" applyAlignment="1" pivotButton="0" quotePrefix="0" xfId="0">
      <alignment horizontal="left" vertical="center" wrapText="1"/>
    </xf>
    <xf numFmtId="4" fontId="15" fillId="5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left" vertical="center" wrapText="1"/>
    </xf>
    <xf numFmtId="4" fontId="16" fillId="7" borderId="2" applyAlignment="1" pivotButton="0" quotePrefix="0" xfId="0">
      <alignment horizontal="right" vertical="center"/>
    </xf>
    <xf numFmtId="0" fontId="17" fillId="0" borderId="2" pivotButton="0" quotePrefix="0" xfId="0"/>
    <xf numFmtId="0" fontId="18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สัดส่วนทรัพย์สิน</a:t>
            </a:r>
          </a:p>
        </rich>
      </tx>
    </title>
    <plotArea>
      <doughnutChart>
        <varyColors val="1"/>
        <ser>
          <idx val="0"/>
          <order val="0"/>
          <tx>
            <strRef>
              <f>'ภาพรวมการเงิน'!C11</f>
            </strRef>
          </tx>
          <spPr>
            <a:ln>
              <a:prstDash val="solid"/>
            </a:ln>
          </spPr>
          <cat>
            <numRef>
              <f>'ภาพรวมการเงิน'!$B$12:$B$15</f>
            </numRef>
          </cat>
          <val>
            <numRef>
              <f>'ภาพรวมการเงิน'!$C$12:$C$15</f>
            </numRef>
          </val>
        </ser>
        <dLbls>
          <showPercent val="1"/>
        </dLbls>
        <firstSliceAng val="0"/>
        <holeSize val="55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สัดส่วนรายจ่ายเดือนนี้</a:t>
            </a:r>
          </a:p>
        </rich>
      </tx>
    </title>
    <plotArea>
      <doughnutChart>
        <varyColors val="1"/>
        <ser>
          <idx val="0"/>
          <order val="0"/>
          <tx>
            <strRef>
              <f>'ภาพรวมการเงิน'!D28</f>
            </strRef>
          </tx>
          <spPr>
            <a:ln>
              <a:prstDash val="solid"/>
            </a:ln>
          </spPr>
          <cat>
            <numRef>
              <f>'ภาพรวมการเงิน'!$B$29:$B$38</f>
            </numRef>
          </cat>
          <val>
            <numRef>
              <f>'ภาพรวมการเงิน'!$D$29:$D$38</f>
            </numRef>
          </val>
        </ser>
        <dLbls>
          <showPercent val="1"/>
        </dLbls>
        <firstSliceAng val="0"/>
        <holeSize val="55"/>
      </doughnut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พอร์ตหุ้นสหรัฐ</a:t>
            </a:r>
          </a:p>
        </rich>
      </tx>
    </title>
    <plotArea>
      <doughnutChart>
        <varyColors val="1"/>
        <ser>
          <idx val="0"/>
          <order val="0"/>
          <tx>
            <strRef>
              <f>'ภาพรวมการเงิน'!C19</f>
            </strRef>
          </tx>
          <spPr>
            <a:ln>
              <a:prstDash val="solid"/>
            </a:ln>
          </spPr>
          <cat>
            <numRef>
              <f>'ภาพรวมการเงิน'!$B$20:$B$24</f>
            </numRef>
          </cat>
          <val>
            <numRef>
              <f>'ภาพรวมการเงิน'!$C$20:$C$24</f>
            </numRef>
          </val>
        </ser>
        <dLbls>
          <showPercent val="1"/>
        </dLbls>
        <firstSliceAng val="0"/>
        <holeSize val="5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9</row>
      <rowOff>0</rowOff>
    </from>
    <ext cx="39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26</row>
      <rowOff>0</rowOff>
    </from>
    <ext cx="396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17</row>
      <rowOff>0</rowOff>
    </from>
    <ext cx="39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5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4" customWidth="1" min="3" max="3"/>
    <col width="13" customWidth="1" min="4" max="4"/>
    <col width="12" customWidth="1" min="5" max="5"/>
    <col width="2" customWidth="1" min="6" max="6"/>
    <col width="20" customWidth="1" min="7" max="7"/>
    <col width="14" customWidth="1" min="8" max="8"/>
    <col width="13" customWidth="1" min="9" max="9"/>
    <col width="13" customWidth="1" min="10" max="10"/>
    <col width="2" customWidth="1" min="11" max="11"/>
  </cols>
  <sheetData>
    <row r="2" ht="36" customHeight="1">
      <c r="B2" s="1" t="inlineStr">
        <is>
          <t>ภาพรวมการเงินของฉัน   ·   Financial Overview</t>
        </is>
      </c>
    </row>
    <row r="3" ht="18" customHeight="1">
      <c r="B3" s="2" t="inlineStr">
        <is>
          <t>ข้อมูล ณ เดือนกรกฎาคม 2569 (2026)</t>
        </is>
      </c>
    </row>
    <row r="5" ht="22" customHeight="1">
      <c r="B5" s="3" t="inlineStr">
        <is>
          <t>💼 ทรัพย์สินรวม</t>
        </is>
      </c>
      <c r="E5" s="4" t="inlineStr">
        <is>
          <t>💳 หนี้สินคงเหลือ</t>
        </is>
      </c>
      <c r="H5" s="5" t="inlineStr">
        <is>
          <t>📈 มูลค่าสุทธิ (Net Worth)</t>
        </is>
      </c>
    </row>
    <row r="6" ht="22" customHeight="1">
      <c r="B6" s="6">
        <f>C16</f>
        <v/>
      </c>
      <c r="E6" s="7">
        <f>E48</f>
        <v/>
      </c>
      <c r="H6" s="8">
        <f>C53</f>
        <v/>
      </c>
    </row>
    <row r="7" ht="22" customHeight="1"/>
    <row r="8" ht="22" customHeight="1"/>
    <row r="10" ht="24" customHeight="1">
      <c r="B10" s="9" t="inlineStr">
        <is>
          <t>💼 ทรัพย์สิน (Assets)</t>
        </is>
      </c>
    </row>
    <row r="11">
      <c r="B11" s="10" t="inlineStr">
        <is>
          <t>พอร์ต</t>
        </is>
      </c>
      <c r="C11" s="10" t="inlineStr">
        <is>
          <t>มูลค่า (฿)</t>
        </is>
      </c>
      <c r="D11" s="10" t="inlineStr">
        <is>
          <t>กำไร/ขาดทุน</t>
        </is>
      </c>
      <c r="E11" s="10" t="inlineStr">
        <is>
          <t xml:space="preserve">% </t>
        </is>
      </c>
    </row>
    <row r="12">
      <c r="B12" s="11" t="inlineStr">
        <is>
          <t>💵 เงินสด</t>
        </is>
      </c>
      <c r="C12" s="12" t="n">
        <v>5432.34</v>
      </c>
      <c r="D12" s="13" t="n">
        <v>0</v>
      </c>
      <c r="E12" s="14" t="n">
        <v>0</v>
      </c>
    </row>
    <row r="13">
      <c r="B13" s="15" t="inlineStr">
        <is>
          <t>📊 กองทุนทั่วไป</t>
        </is>
      </c>
      <c r="C13" s="16" t="n">
        <v>13713.27</v>
      </c>
      <c r="D13" s="17" t="n">
        <v>635.39</v>
      </c>
      <c r="E13" s="18" t="n">
        <v>0.0486</v>
      </c>
    </row>
    <row r="14">
      <c r="B14" s="11" t="inlineStr">
        <is>
          <t>🏛️ กองทุนลดหย่อนภาษี</t>
        </is>
      </c>
      <c r="C14" s="12" t="n">
        <v>3052.07</v>
      </c>
      <c r="D14" s="13" t="n">
        <v>52.07</v>
      </c>
      <c r="E14" s="14" t="n">
        <v>0.0174</v>
      </c>
    </row>
    <row r="15">
      <c r="B15" s="15" t="inlineStr">
        <is>
          <t>🇺🇸 หุ้นสหรัฐ (Dime)</t>
        </is>
      </c>
      <c r="C15" s="16" t="n">
        <v>4443.94</v>
      </c>
      <c r="D15" s="19" t="n">
        <v>-24.1922</v>
      </c>
      <c r="E15" s="20" t="n">
        <v>-0.0054</v>
      </c>
    </row>
    <row r="16">
      <c r="B16" s="21" t="inlineStr">
        <is>
          <t>รวมทรัพย์สิน</t>
        </is>
      </c>
      <c r="C16" s="22">
        <f>SUM(C12:C15)</f>
        <v/>
      </c>
      <c r="D16" s="22">
        <f>SUM(D12:D15)</f>
        <v/>
      </c>
      <c r="E16" s="23" t="inlineStr"/>
    </row>
    <row r="18" ht="24" customHeight="1">
      <c r="B18" s="24" t="inlineStr">
        <is>
          <t>🇺🇸 รายละเอียดหุ้นสหรัฐ (Dime)  ·  1 USD = 33.14 THB</t>
        </is>
      </c>
    </row>
    <row r="19">
      <c r="B19" s="25" t="inlineStr">
        <is>
          <t>หุ้น</t>
        </is>
      </c>
      <c r="C19" s="25" t="inlineStr">
        <is>
          <t>มูลค่า (฿)</t>
        </is>
      </c>
      <c r="D19" s="25" t="inlineStr">
        <is>
          <t>สัดส่วน</t>
        </is>
      </c>
      <c r="E19" s="25" t="inlineStr">
        <is>
          <t>% กำไร</t>
        </is>
      </c>
    </row>
    <row r="20">
      <c r="B20" s="26" t="inlineStr">
        <is>
          <t>TSLA</t>
        </is>
      </c>
      <c r="C20" s="27" t="n">
        <v>1187.31</v>
      </c>
      <c r="D20" s="28" t="n">
        <v>0.2672</v>
      </c>
      <c r="E20" s="14" t="n">
        <v>0.0236</v>
      </c>
    </row>
    <row r="21">
      <c r="B21" s="29" t="inlineStr">
        <is>
          <t>LLY</t>
        </is>
      </c>
      <c r="C21" s="30" t="n">
        <v>1058.63</v>
      </c>
      <c r="D21" s="31" t="n">
        <v>0.2382</v>
      </c>
      <c r="E21" s="18" t="n">
        <v>0.06660000000000001</v>
      </c>
    </row>
    <row r="22">
      <c r="B22" s="26" t="inlineStr">
        <is>
          <t>GOOGL</t>
        </is>
      </c>
      <c r="C22" s="27" t="n">
        <v>942.28</v>
      </c>
      <c r="D22" s="28" t="n">
        <v>0.212</v>
      </c>
      <c r="E22" s="32" t="n">
        <v>-0.0506</v>
      </c>
    </row>
    <row r="23">
      <c r="B23" s="29" t="inlineStr">
        <is>
          <t>NVDA</t>
        </is>
      </c>
      <c r="C23" s="30" t="n">
        <v>938.98</v>
      </c>
      <c r="D23" s="31" t="n">
        <v>0.2113</v>
      </c>
      <c r="E23" s="20" t="n">
        <v>-0.054</v>
      </c>
    </row>
    <row r="24">
      <c r="B24" s="26" t="inlineStr">
        <is>
          <t>XOM</t>
        </is>
      </c>
      <c r="C24" s="27" t="n">
        <v>316.74</v>
      </c>
      <c r="D24" s="28" t="n">
        <v>0.0712</v>
      </c>
      <c r="E24" s="32" t="n">
        <v>-0.0423</v>
      </c>
    </row>
    <row r="25">
      <c r="B25" s="33" t="inlineStr">
        <is>
          <t>รวมหุ้นสหรัฐ</t>
        </is>
      </c>
      <c r="C25" s="34">
        <f>SUM(C20:C24)</f>
        <v/>
      </c>
      <c r="D25" s="35" t="inlineStr"/>
      <c r="E25" s="35" t="inlineStr"/>
    </row>
    <row r="27" ht="24" customHeight="1">
      <c r="B27" s="36" t="inlineStr">
        <is>
          <t>📉 รายจ่ายเดือนนี้ (ก.ค. 2569)</t>
        </is>
      </c>
    </row>
    <row r="28">
      <c r="B28" s="37" t="inlineStr">
        <is>
          <t>รายการ</t>
        </is>
      </c>
      <c r="C28" s="37" t="inlineStr">
        <is>
          <t>หมวด</t>
        </is>
      </c>
      <c r="D28" s="37" t="inlineStr">
        <is>
          <t>ยอด (฿)</t>
        </is>
      </c>
      <c r="E28" s="37" t="inlineStr">
        <is>
          <t>วิธีจ่าย</t>
        </is>
      </c>
    </row>
    <row r="29">
      <c r="B29" s="11" t="inlineStr">
        <is>
          <t>ค่าข้าว</t>
        </is>
      </c>
      <c r="C29" s="38" t="inlineStr">
        <is>
          <t>รายวัน</t>
        </is>
      </c>
      <c r="D29" s="12" t="n">
        <v>76</v>
      </c>
      <c r="E29" s="39" t="inlineStr">
        <is>
          <t>BBL</t>
        </is>
      </c>
    </row>
    <row r="30">
      <c r="B30" s="15" t="inlineStr">
        <is>
          <t>ค่ายาสระผม</t>
        </is>
      </c>
      <c r="C30" s="40" t="inlineStr">
        <is>
          <t>รายวัน</t>
        </is>
      </c>
      <c r="D30" s="16" t="n">
        <v>151</v>
      </c>
      <c r="E30" s="41" t="inlineStr">
        <is>
          <t>BBL</t>
        </is>
      </c>
    </row>
    <row r="31">
      <c r="B31" s="11" t="inlineStr">
        <is>
          <t>ค่าน้ำมัน</t>
        </is>
      </c>
      <c r="C31" s="38" t="inlineStr">
        <is>
          <t>รายวัน</t>
        </is>
      </c>
      <c r="D31" s="12" t="n">
        <v>1060</v>
      </c>
      <c r="E31" s="39" t="inlineStr">
        <is>
          <t>TTB</t>
        </is>
      </c>
    </row>
    <row r="32">
      <c r="B32" s="15" t="inlineStr">
        <is>
          <t>ค่าเน็ตโทรศัพท์</t>
        </is>
      </c>
      <c r="C32" s="40" t="inlineStr">
        <is>
          <t>ประจำ</t>
        </is>
      </c>
      <c r="D32" s="16" t="n">
        <v>416.23</v>
      </c>
      <c r="E32" s="41" t="inlineStr">
        <is>
          <t>BBL</t>
        </is>
      </c>
    </row>
    <row r="33">
      <c r="B33" s="11" t="inlineStr">
        <is>
          <t>Claude Pro</t>
        </is>
      </c>
      <c r="C33" s="38" t="inlineStr">
        <is>
          <t>ประจำ</t>
        </is>
      </c>
      <c r="D33" s="12" t="n">
        <v>799</v>
      </c>
      <c r="E33" s="39" t="inlineStr">
        <is>
          <t>BBL</t>
        </is>
      </c>
    </row>
    <row r="34">
      <c r="B34" s="15" t="inlineStr">
        <is>
          <t>เครื่องกรองน้ำ</t>
        </is>
      </c>
      <c r="C34" s="40" t="inlineStr">
        <is>
          <t>ผ่อน</t>
        </is>
      </c>
      <c r="D34" s="16" t="n">
        <v>590</v>
      </c>
      <c r="E34" s="41" t="inlineStr">
        <is>
          <t>KBANK</t>
        </is>
      </c>
    </row>
    <row r="35">
      <c r="B35" s="11" t="inlineStr">
        <is>
          <t>ประกันรถ 2+</t>
        </is>
      </c>
      <c r="C35" s="38" t="inlineStr">
        <is>
          <t>ผ่อน</t>
        </is>
      </c>
      <c r="D35" s="12" t="n">
        <v>876.77</v>
      </c>
      <c r="E35" s="39" t="inlineStr">
        <is>
          <t>TTB</t>
        </is>
      </c>
    </row>
    <row r="36">
      <c r="B36" s="15" t="inlineStr">
        <is>
          <t>ค่าเช่าหอใหม่ + ขยะ</t>
        </is>
      </c>
      <c r="C36" s="40" t="inlineStr">
        <is>
          <t>ที่อยู่</t>
        </is>
      </c>
      <c r="D36" s="16" t="n">
        <v>3040</v>
      </c>
      <c r="E36" s="41" t="inlineStr">
        <is>
          <t>เงินสด</t>
        </is>
      </c>
    </row>
    <row r="37">
      <c r="B37" s="11" t="inlineStr">
        <is>
          <t>รถ (ส่วนจ่ายเอง)</t>
        </is>
      </c>
      <c r="C37" s="38" t="inlineStr">
        <is>
          <t>ผ่อน</t>
        </is>
      </c>
      <c r="D37" s="12" t="n">
        <v>4841</v>
      </c>
      <c r="E37" s="39" t="inlineStr">
        <is>
          <t>สินเชื่อ TTB</t>
        </is>
      </c>
    </row>
    <row r="38">
      <c r="B38" s="15" t="inlineStr">
        <is>
          <t>ผ่อนบัตรกสิกร</t>
        </is>
      </c>
      <c r="C38" s="40" t="inlineStr">
        <is>
          <t>ผ่อน</t>
        </is>
      </c>
      <c r="D38" s="16" t="n">
        <v>5222</v>
      </c>
      <c r="E38" s="41" t="inlineStr">
        <is>
          <t>KBANK</t>
        </is>
      </c>
    </row>
    <row r="39">
      <c r="B39" s="42" t="inlineStr">
        <is>
          <t>รวมรายจ่าย (จ่ายเอง)</t>
        </is>
      </c>
      <c r="C39" s="43" t="inlineStr"/>
      <c r="D39" s="44">
        <f>SUM(D29:D38)</f>
        <v/>
      </c>
      <c r="E39" s="43" t="inlineStr"/>
    </row>
    <row r="40">
      <c r="B40" s="45" t="inlineStr">
        <is>
          <t>💝 แม่ช่วยค่ารถ</t>
        </is>
      </c>
      <c r="C40" s="46" t="inlineStr"/>
      <c r="D40" s="47" t="n">
        <v>5000</v>
      </c>
      <c r="E40" s="46" t="inlineStr"/>
    </row>
    <row r="42" ht="24" customHeight="1">
      <c r="B42" s="48" t="inlineStr">
        <is>
          <t>💳 หนี้สินคงเหลือ (Liabilities)</t>
        </is>
      </c>
    </row>
    <row r="43">
      <c r="B43" s="49" t="inlineStr">
        <is>
          <t>รายการ</t>
        </is>
      </c>
      <c r="C43" s="49" t="inlineStr">
        <is>
          <t>ต่อเดือน</t>
        </is>
      </c>
      <c r="D43" s="49" t="inlineStr">
        <is>
          <t>งวดเหลือ</t>
        </is>
      </c>
      <c r="E43" s="49" t="inlineStr">
        <is>
          <t>ยอดคงเหลือ</t>
        </is>
      </c>
    </row>
    <row r="44">
      <c r="B44" s="11" t="inlineStr">
        <is>
          <t>ผ่อนบัตรกสิกร</t>
        </is>
      </c>
      <c r="C44" s="27" t="n">
        <v>5222</v>
      </c>
      <c r="D44" s="38" t="n">
        <v>5</v>
      </c>
      <c r="E44" s="12">
        <f>C44*D44</f>
        <v/>
      </c>
    </row>
    <row r="45">
      <c r="B45" s="15" t="inlineStr">
        <is>
          <t>รถ (ยอดเต็ม)</t>
        </is>
      </c>
      <c r="C45" s="30" t="n">
        <v>9841</v>
      </c>
      <c r="D45" s="40" t="n">
        <v>48</v>
      </c>
      <c r="E45" s="16">
        <f>C45*D45</f>
        <v/>
      </c>
    </row>
    <row r="46">
      <c r="B46" s="11" t="inlineStr">
        <is>
          <t>ประกันรถ 2+</t>
        </is>
      </c>
      <c r="C46" s="27" t="n">
        <v>876.77</v>
      </c>
      <c r="D46" s="38" t="n">
        <v>6</v>
      </c>
      <c r="E46" s="12">
        <f>C46*D46</f>
        <v/>
      </c>
    </row>
    <row r="47">
      <c r="B47" s="15" t="inlineStr">
        <is>
          <t>เครื่องกรองน้ำ</t>
        </is>
      </c>
      <c r="C47" s="30" t="n">
        <v>590</v>
      </c>
      <c r="D47" s="40" t="n">
        <v>67</v>
      </c>
      <c r="E47" s="16">
        <f>C47*D47</f>
        <v/>
      </c>
    </row>
    <row r="48">
      <c r="B48" s="50" t="inlineStr">
        <is>
          <t>รวมหนี้สิน</t>
        </is>
      </c>
      <c r="C48" s="51" t="inlineStr"/>
      <c r="D48" s="51" t="inlineStr"/>
      <c r="E48" s="52">
        <f>SUM(E44:E47)</f>
        <v/>
      </c>
    </row>
    <row r="50" ht="24" customHeight="1">
      <c r="B50" s="53" t="inlineStr">
        <is>
          <t>📊 สรุปความมั่งคั่งสุทธิ</t>
        </is>
      </c>
    </row>
    <row r="51">
      <c r="B51" s="11" t="inlineStr">
        <is>
          <t>ทรัพย์สินรวม</t>
        </is>
      </c>
      <c r="C51" s="54">
        <f>C16</f>
        <v/>
      </c>
      <c r="D51" s="55" t="inlineStr"/>
    </row>
    <row r="52">
      <c r="B52" s="11" t="inlineStr">
        <is>
          <t>หัก หนี้สินรวม</t>
        </is>
      </c>
      <c r="C52" s="56">
        <f>-E48</f>
        <v/>
      </c>
      <c r="D52" s="55" t="inlineStr"/>
    </row>
    <row r="53">
      <c r="B53" s="57" t="inlineStr">
        <is>
          <t>มูลค่าสุทธิ (Net Worth)</t>
        </is>
      </c>
      <c r="C53" s="58">
        <f>C16-E48</f>
        <v/>
      </c>
      <c r="D53" s="59" t="inlineStr"/>
    </row>
    <row r="54">
      <c r="B54" s="60" t="inlineStr">
        <is>
          <t>มูลค่าสุทธิ (ไม่รวมหนี้รถ)</t>
        </is>
      </c>
      <c r="C54" s="61">
        <f>C16-(E48-472368)</f>
        <v/>
      </c>
      <c r="D54" s="62" t="inlineStr"/>
    </row>
    <row r="56">
      <c r="B56" s="63" t="inlineStr">
        <is>
          <t>หมายเหตุ: ช่องมูลค่า/ยอด แก้ได้เอง · ช่องรวม-ส่วนต่าง-Net Worth คำนวณอัตโนมัติ · หุ้นรถเป็นยอดหนี้ก้อนใหญ่ (แม่ช่วยจ่าย 5,000/เดือน)</t>
        </is>
      </c>
    </row>
  </sheetData>
  <mergeCells count="18">
    <mergeCell ref="E6:G7"/>
    <mergeCell ref="H6:J7"/>
    <mergeCell ref="B18:E18"/>
    <mergeCell ref="B5:D5"/>
    <mergeCell ref="B3:J3"/>
    <mergeCell ref="B6:D7"/>
    <mergeCell ref="B27:E27"/>
    <mergeCell ref="B50:E50"/>
    <mergeCell ref="D52:E52"/>
    <mergeCell ref="E5:G5"/>
    <mergeCell ref="H5:J5"/>
    <mergeCell ref="D51:E51"/>
    <mergeCell ref="B56:J56"/>
    <mergeCell ref="D54:E54"/>
    <mergeCell ref="B10:E10"/>
    <mergeCell ref="B42:E42"/>
    <mergeCell ref="B2:J2"/>
    <mergeCell ref="D53:E53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2026-06-30T15:12:51Z</dcterms:created>
  <dcterms:modified xsi:type="dcterms:W3CDTF">2026-06-30T15:12:51Z</dcterms:modified>
</cp:coreProperties>
</file>